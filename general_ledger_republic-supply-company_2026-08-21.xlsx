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" state="visible" r:id="rId4"/>
    <sheet sheetId="2" name="Detailed" state="visible" r:id="rId5"/>
    <sheet sheetId="3" name="WC" state="visible" r:id="rId6"/>
    <sheet sheetId="4" name="HZ &amp; EL" state="visible" r:id="rId7"/>
    <sheet sheetId="5" name="Paul" state="visible" r:id="rId8"/>
  </sheets>
  <calcPr calcId="171027"/>
</workbook>
</file>

<file path=xl/sharedStrings.xml><?xml version="1.0" encoding="utf-8"?>
<sst xmlns="http://schemas.openxmlformats.org/spreadsheetml/2006/main" count="208" uniqueCount="85">
  <si>
    <t>Republic Supply Company</t>
  </si>
  <si>
    <t>Ledger for Regular Payroll Aug 10 – Aug 16</t>
  </si>
  <si>
    <t>Check date: 2026-08-21</t>
  </si>
  <si>
    <t>Account Type</t>
  </si>
  <si>
    <t>Account Description</t>
  </si>
  <si>
    <t>Debit</t>
  </si>
  <si>
    <t>Credit</t>
  </si>
  <si>
    <t>EmployerTax</t>
  </si>
  <si>
    <t>Social Security - employer tax</t>
  </si>
  <si>
    <t>Medicare - employer tax</t>
  </si>
  <si>
    <t>OvertimeWages</t>
  </si>
  <si>
    <t>Overtime Wages</t>
  </si>
  <si>
    <t>RegularWages</t>
  </si>
  <si>
    <t>Regular Wages</t>
  </si>
  <si>
    <t>SickTimeOff</t>
  </si>
  <si>
    <t>Sick Time Off</t>
  </si>
  <si>
    <t>DebitNetPay</t>
  </si>
  <si>
    <t>Debit net pay</t>
  </si>
  <si>
    <t>DebitTax</t>
  </si>
  <si>
    <t>Debit tax</t>
  </si>
  <si>
    <t>EmployeePaymentCheck</t>
  </si>
  <si>
    <t>Check for Genesis Lopez Pagoada</t>
  </si>
  <si>
    <t>Check for Paul Bates</t>
  </si>
  <si>
    <t>Check for Hazel Herrera</t>
  </si>
  <si>
    <t>Garnishment</t>
  </si>
  <si>
    <t>Garnishment Liability for Child support - 200000000885099 (Carlos Silva)</t>
  </si>
  <si>
    <t>Deduction Liability for Prior period overpayment correction – 08/14 payroll (Genesis Lopez Pagoada)</t>
  </si>
  <si>
    <t>Deduction Liability for Prior period overpayment correction – 08/14 payroll (Paul Bates)</t>
  </si>
  <si>
    <t>Deduction Liability for Prior period overpayment correction – 08/14 payroll (Hazel Herrera)</t>
  </si>
  <si>
    <t>Totals</t>
  </si>
  <si>
    <t>Regular Wages for Carlos Silva</t>
  </si>
  <si>
    <t>Overtime Wages for Carlos Silva</t>
  </si>
  <si>
    <t>Regular Wages for Paola Sanchez</t>
  </si>
  <si>
    <t>Overtime Wages for Paola Sanchez</t>
  </si>
  <si>
    <t>Regular Wages for Genesis Lopez Pagoada</t>
  </si>
  <si>
    <t>Overtime Wages for Genesis Lopez Pagoada</t>
  </si>
  <si>
    <t>Regular Wages for Paul Bates</t>
  </si>
  <si>
    <t>Overtime Wages for Paul Bates</t>
  </si>
  <si>
    <t>Regular Wages for Hazel Herrera</t>
  </si>
  <si>
    <t>Overtime Wages for Hazel Herrera</t>
  </si>
  <si>
    <t>Regular Wages for Sylvia Lopez</t>
  </si>
  <si>
    <t>Overtime Wages for Sylvia Lopez</t>
  </si>
  <si>
    <t>Code</t>
  </si>
  <si>
    <t>Regular Pay</t>
  </si>
  <si>
    <t>Overtime</t>
  </si>
  <si>
    <t>2/3 OT for WC</t>
  </si>
  <si>
    <t>Total pay</t>
  </si>
  <si>
    <t xml:space="preserve">Pay for </t>
  </si>
  <si>
    <t>WC Rate</t>
  </si>
  <si>
    <t>Other than below mentioned</t>
  </si>
  <si>
    <t>Carlos + Ryan</t>
  </si>
  <si>
    <t>Meaghan+Elysia</t>
  </si>
  <si>
    <t>Joey</t>
  </si>
  <si>
    <t>Sick Time Off for Hazel Herrera</t>
  </si>
  <si>
    <t>Hazel Regualr wages</t>
  </si>
  <si>
    <t>Regular Wages for Elysia Castro</t>
  </si>
  <si>
    <t>OT</t>
  </si>
  <si>
    <t>Overtime Wages for Elysia Castro</t>
  </si>
  <si>
    <t>As per Smartpay code 4611</t>
  </si>
  <si>
    <t>Wc rate</t>
  </si>
  <si>
    <t>As per Righsum code 8871</t>
  </si>
  <si>
    <t>1/3% WC Exempt</t>
  </si>
  <si>
    <t>1/3% of Wc exempt</t>
  </si>
  <si>
    <t>OT After Exemption</t>
  </si>
  <si>
    <t>Overtime after exemption</t>
  </si>
  <si>
    <t>Total Hours</t>
  </si>
  <si>
    <t>WC</t>
  </si>
  <si>
    <t>Employer's tax Part</t>
  </si>
  <si>
    <t>From paycheck</t>
  </si>
  <si>
    <t>Total Cost</t>
  </si>
  <si>
    <t>10% Service Charge</t>
  </si>
  <si>
    <t>RSC Invoice (LXP  Enterprises LLC)</t>
  </si>
  <si>
    <t>Wages</t>
  </si>
  <si>
    <t>Employer Tax</t>
  </si>
  <si>
    <t>Fee</t>
  </si>
  <si>
    <t>Total</t>
  </si>
  <si>
    <t>Paul Regualr wages</t>
  </si>
  <si>
    <t>OT wage</t>
  </si>
  <si>
    <t>10%service fee</t>
  </si>
  <si>
    <t>Total Amount</t>
  </si>
  <si>
    <t>LXP - 35%</t>
  </si>
  <si>
    <t>Bravura - 35%</t>
  </si>
  <si>
    <t>Total Pay</t>
  </si>
  <si>
    <t>Employee tax</t>
  </si>
  <si>
    <t>*New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</si>
</sst>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(&quot;$&quot;#,##0.00)"/>
    <numFmt numFmtId="165" formatCode="_(&quot;$&quot;* #,##0.00_);_(&quot;$&quot;* (#,##0.00);_(&quot;$&quot;* &quot;-&quot;??_);_(@_)"/>
  </numFmts>
  <fonts count="3" x14ac:knownFonts="1">
    <font>
      <color theme="1"/>
      <family val="2"/>
      <scheme val="minor"/>
      <sz val="11"/>
      <name val="Calibri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FDEDF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  <xf numFmtId="0" fontId="2" fillId="3" borderId="0" xfId="0" applyFont="1" applyFill="1"/>
    <xf numFmtId="164" fontId="2" fillId="3" borderId="0" xfId="0" applyNumberFormat="1" applyFont="1" applyFill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3"/>
  <sheetFormatPr defaultRowHeight="15" outlineLevelRow="0" outlineLevelCol="0" x14ac:dyDescent="55"/>
  <cols>
    <col min="1" max="1" width="74.25" customWidth="1"/>
    <col min="2" max="2" width="112.25" customWidth="1"/>
    <col min="3" max="4" width="16.5" customWidth="1"/>
  </cols>
  <sheetData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7" spans="1:4" x14ac:dyDescent="0.25">
      <c r="A7" s="2" t="s">
        <v>3</v>
      </c>
      <c r="B7" s="2" t="s">
        <v>4</v>
      </c>
      <c r="C7" s="2" t="s">
        <v>5</v>
      </c>
      <c r="D7" s="2" t="s">
        <v>6</v>
      </c>
    </row>
    <row r="8" spans="1:3" x14ac:dyDescent="0.25">
      <c r="A8" s="3" t="s">
        <v>7</v>
      </c>
      <c r="B8" s="3" t="s">
        <v>8</v>
      </c>
      <c r="C8" s="4">
        <v>397.66</v>
      </c>
    </row>
    <row r="9" spans="1:3" x14ac:dyDescent="0.25">
      <c r="A9" s="3" t="s">
        <v>7</v>
      </c>
      <c r="B9" s="3" t="s">
        <v>9</v>
      </c>
      <c r="C9" s="4">
        <v>93.01</v>
      </c>
    </row>
    <row r="10" spans="1:3" x14ac:dyDescent="0.25">
      <c r="A10" s="3" t="s">
        <v>10</v>
      </c>
      <c r="B10" s="3" t="s">
        <v>11</v>
      </c>
      <c r="C10" s="4">
        <v>1022.6</v>
      </c>
    </row>
    <row r="11" spans="1:3" x14ac:dyDescent="0.25">
      <c r="A11" s="3" t="s">
        <v>12</v>
      </c>
      <c r="B11" s="3" t="s">
        <v>13</v>
      </c>
      <c r="C11" s="4">
        <v>5391.62</v>
      </c>
    </row>
    <row r="12" spans="1:3" x14ac:dyDescent="0.25">
      <c r="A12" s="3" t="s">
        <v>14</v>
      </c>
      <c r="B12" s="3" t="s">
        <v>15</v>
      </c>
      <c r="C12" s="4">
        <v>113.25</v>
      </c>
    </row>
    <row r="13" spans="1:4" x14ac:dyDescent="0.25">
      <c r="A13" s="3" t="s">
        <v>16</v>
      </c>
      <c r="B13" s="3" t="s">
        <v>17</v>
      </c>
      <c r="D13" s="4">
        <v>3157.68</v>
      </c>
    </row>
    <row r="14" spans="1:4" x14ac:dyDescent="0.25">
      <c r="A14" s="3" t="s">
        <v>18</v>
      </c>
      <c r="B14" s="3" t="s">
        <v>19</v>
      </c>
      <c r="D14" s="4">
        <v>981.34</v>
      </c>
    </row>
    <row r="15" spans="1:4" x14ac:dyDescent="0.25">
      <c r="A15" s="3" t="s">
        <v>20</v>
      </c>
      <c r="B15" s="3" t="s">
        <v>21</v>
      </c>
      <c r="D15" s="4">
        <v>812.16</v>
      </c>
    </row>
    <row r="16" spans="1:4" x14ac:dyDescent="0.25">
      <c r="A16" s="3" t="s">
        <v>20</v>
      </c>
      <c r="B16" s="3" t="s">
        <v>22</v>
      </c>
      <c r="D16" s="4">
        <v>899.98</v>
      </c>
    </row>
    <row r="17" spans="1:4" x14ac:dyDescent="0.25">
      <c r="A17" s="3" t="s">
        <v>20</v>
      </c>
      <c r="B17" s="3" t="s">
        <v>23</v>
      </c>
      <c r="D17" s="4">
        <v>1023.21</v>
      </c>
    </row>
    <row r="18" spans="1:4" x14ac:dyDescent="0.25">
      <c r="A18" s="3" t="s">
        <v>24</v>
      </c>
      <c r="B18" s="3" t="s">
        <v>25</v>
      </c>
      <c r="D18" s="4">
        <v>93.75</v>
      </c>
    </row>
    <row r="19" spans="1:4" x14ac:dyDescent="0.25">
      <c r="A19" s="3" t="s">
        <v>24</v>
      </c>
      <c r="B19" s="3" t="s">
        <v>26</v>
      </c>
      <c r="D19" s="4">
        <v>4.46</v>
      </c>
    </row>
    <row r="20" spans="1:4" x14ac:dyDescent="0.25">
      <c r="A20" s="3" t="s">
        <v>24</v>
      </c>
      <c r="B20" s="3" t="s">
        <v>27</v>
      </c>
      <c r="D20" s="4">
        <v>15.4</v>
      </c>
    </row>
    <row r="21" spans="1:4" x14ac:dyDescent="0.25">
      <c r="A21" s="3" t="s">
        <v>24</v>
      </c>
      <c r="B21" s="3" t="s">
        <v>28</v>
      </c>
      <c r="D21" s="4">
        <v>30.16</v>
      </c>
    </row>
    <row r="23" spans="2:4" x14ac:dyDescent="0.25">
      <c r="B23" s="5" t="s">
        <v>29</v>
      </c>
      <c r="C23" s="6">
        <v>7018.14</v>
      </c>
      <c r="D23" s="6">
        <v>7018.14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2"/>
  <sheetFormatPr defaultRowHeight="15" outlineLevelRow="0" outlineLevelCol="0" x14ac:dyDescent="55"/>
  <cols>
    <col min="1" max="1" width="74.25" customWidth="1"/>
    <col min="2" max="2" width="112.25" customWidth="1"/>
    <col min="3" max="4" width="16.5" customWidth="1"/>
  </cols>
  <sheetData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7" spans="1:4" x14ac:dyDescent="0.25">
      <c r="A7" s="2" t="s">
        <v>3</v>
      </c>
      <c r="B7" s="2" t="s">
        <v>4</v>
      </c>
      <c r="C7" s="2" t="s">
        <v>5</v>
      </c>
      <c r="D7" s="2" t="s">
        <v>6</v>
      </c>
    </row>
    <row r="8" spans="1:3" x14ac:dyDescent="0.25">
      <c r="A8" s="3" t="s">
        <v>12</v>
      </c>
      <c r="B8" s="3" t="s">
        <v>30</v>
      </c>
      <c r="C8" s="4">
        <v>1200</v>
      </c>
    </row>
    <row r="9" spans="1:3" x14ac:dyDescent="0.25">
      <c r="A9" s="3" t="s">
        <v>10</v>
      </c>
      <c r="B9" s="3" t="s">
        <v>31</v>
      </c>
      <c r="C9" s="4">
        <v>421.2</v>
      </c>
    </row>
    <row r="10" spans="1:3" x14ac:dyDescent="0.25">
      <c r="A10" s="3" t="s">
        <v>12</v>
      </c>
      <c r="B10" s="3" t="s">
        <v>32</v>
      </c>
      <c r="C10" s="4">
        <v>800</v>
      </c>
    </row>
    <row r="11" spans="1:3" x14ac:dyDescent="0.25">
      <c r="A11" s="3" t="s">
        <v>10</v>
      </c>
      <c r="B11" s="3" t="s">
        <v>33</v>
      </c>
      <c r="C11" s="4">
        <v>80.4</v>
      </c>
    </row>
    <row r="12" spans="1:3" x14ac:dyDescent="0.25">
      <c r="A12" s="3" t="s">
        <v>12</v>
      </c>
      <c r="B12" s="3" t="s">
        <v>34</v>
      </c>
      <c r="C12" s="4">
        <v>760</v>
      </c>
    </row>
    <row r="13" spans="1:3" x14ac:dyDescent="0.25">
      <c r="A13" s="3" t="s">
        <v>10</v>
      </c>
      <c r="B13" s="3" t="s">
        <v>35</v>
      </c>
      <c r="C13" s="4">
        <v>124.26</v>
      </c>
    </row>
    <row r="14" spans="1:3" x14ac:dyDescent="0.25">
      <c r="A14" s="3" t="s">
        <v>12</v>
      </c>
      <c r="B14" s="3" t="s">
        <v>36</v>
      </c>
      <c r="C14" s="4">
        <v>840</v>
      </c>
    </row>
    <row r="15" spans="1:3" x14ac:dyDescent="0.25">
      <c r="A15" s="3" t="s">
        <v>10</v>
      </c>
      <c r="B15" s="3" t="s">
        <v>37</v>
      </c>
      <c r="C15" s="4">
        <v>151.2</v>
      </c>
    </row>
    <row r="16" spans="1:3" x14ac:dyDescent="0.25">
      <c r="A16" s="3" t="s">
        <v>12</v>
      </c>
      <c r="B16" s="3" t="s">
        <v>38</v>
      </c>
      <c r="C16" s="4">
        <v>1000</v>
      </c>
    </row>
    <row r="17" spans="1:3" x14ac:dyDescent="0.25">
      <c r="A17" s="3" t="s">
        <v>10</v>
      </c>
      <c r="B17" s="3" t="s">
        <v>39</v>
      </c>
      <c r="C17" s="4">
        <v>140.63</v>
      </c>
    </row>
    <row r="18" spans="1:3" x14ac:dyDescent="0.25">
      <c r="A18" s="3" t="s">
        <v>12</v>
      </c>
      <c r="B18" s="3" t="s">
        <v>40</v>
      </c>
      <c r="C18" s="4">
        <v>791.62</v>
      </c>
    </row>
    <row r="19" spans="1:3" x14ac:dyDescent="0.25">
      <c r="A19" s="3" t="s">
        <v>10</v>
      </c>
      <c r="B19" s="3" t="s">
        <v>41</v>
      </c>
      <c r="C19" s="4">
        <v>104.91</v>
      </c>
    </row>
    <row r="20" spans="1:3" x14ac:dyDescent="0.25">
      <c r="A20" s="3" t="s">
        <v>7</v>
      </c>
      <c r="B20" s="3" t="s">
        <v>8</v>
      </c>
      <c r="C20" s="4">
        <v>100.51</v>
      </c>
    </row>
    <row r="21" spans="1:3" x14ac:dyDescent="0.25">
      <c r="A21" s="3" t="s">
        <v>7</v>
      </c>
      <c r="B21" s="3" t="s">
        <v>9</v>
      </c>
      <c r="C21" s="4">
        <v>23.51</v>
      </c>
    </row>
    <row r="22" spans="1:3" x14ac:dyDescent="0.25">
      <c r="A22" s="3" t="s">
        <v>7</v>
      </c>
      <c r="B22" s="3" t="s">
        <v>8</v>
      </c>
      <c r="C22" s="4">
        <v>54.58</v>
      </c>
    </row>
    <row r="23" spans="1:3" x14ac:dyDescent="0.25">
      <c r="A23" s="3" t="s">
        <v>7</v>
      </c>
      <c r="B23" s="3" t="s">
        <v>9</v>
      </c>
      <c r="C23" s="4">
        <v>12.77</v>
      </c>
    </row>
    <row r="24" spans="1:3" x14ac:dyDescent="0.25">
      <c r="A24" s="3" t="s">
        <v>7</v>
      </c>
      <c r="B24" s="3" t="s">
        <v>8</v>
      </c>
      <c r="C24" s="4">
        <v>54.82</v>
      </c>
    </row>
    <row r="25" spans="1:3" x14ac:dyDescent="0.25">
      <c r="A25" s="3" t="s">
        <v>7</v>
      </c>
      <c r="B25" s="3" t="s">
        <v>9</v>
      </c>
      <c r="C25" s="4">
        <v>12.82</v>
      </c>
    </row>
    <row r="26" spans="1:3" x14ac:dyDescent="0.25">
      <c r="A26" s="3" t="s">
        <v>7</v>
      </c>
      <c r="B26" s="3" t="s">
        <v>8</v>
      </c>
      <c r="C26" s="4">
        <v>61.45</v>
      </c>
    </row>
    <row r="27" spans="1:3" x14ac:dyDescent="0.25">
      <c r="A27" s="3" t="s">
        <v>7</v>
      </c>
      <c r="B27" s="3" t="s">
        <v>9</v>
      </c>
      <c r="C27" s="4">
        <v>14.37</v>
      </c>
    </row>
    <row r="28" spans="1:3" x14ac:dyDescent="0.25">
      <c r="A28" s="3" t="s">
        <v>7</v>
      </c>
      <c r="B28" s="3" t="s">
        <v>8</v>
      </c>
      <c r="C28" s="4">
        <v>70.72</v>
      </c>
    </row>
    <row r="29" spans="1:3" x14ac:dyDescent="0.25">
      <c r="A29" s="3" t="s">
        <v>7</v>
      </c>
      <c r="B29" s="3" t="s">
        <v>9</v>
      </c>
      <c r="C29" s="4">
        <v>16.54</v>
      </c>
    </row>
    <row r="30" spans="1:3" x14ac:dyDescent="0.25">
      <c r="A30" s="3" t="s">
        <v>7</v>
      </c>
      <c r="B30" s="3" t="s">
        <v>8</v>
      </c>
      <c r="C30" s="4">
        <v>55.58</v>
      </c>
    </row>
    <row r="31" spans="1:3" x14ac:dyDescent="0.25">
      <c r="A31" s="3" t="s">
        <v>7</v>
      </c>
      <c r="B31" s="3" t="s">
        <v>9</v>
      </c>
      <c r="C31" s="4">
        <v>13</v>
      </c>
    </row>
    <row r="32" spans="1:4" x14ac:dyDescent="0.25">
      <c r="A32" s="3" t="s">
        <v>16</v>
      </c>
      <c r="B32" s="3" t="s">
        <v>17</v>
      </c>
      <c r="D32" s="4">
        <v>3157.68</v>
      </c>
    </row>
    <row r="33" spans="1:4" x14ac:dyDescent="0.25">
      <c r="A33" s="3" t="s">
        <v>18</v>
      </c>
      <c r="B33" s="3" t="s">
        <v>19</v>
      </c>
      <c r="D33" s="4">
        <v>981.34</v>
      </c>
    </row>
    <row r="34" spans="1:4" x14ac:dyDescent="0.25">
      <c r="A34" s="3" t="s">
        <v>20</v>
      </c>
      <c r="B34" s="3" t="s">
        <v>21</v>
      </c>
      <c r="D34" s="4">
        <v>812.16</v>
      </c>
    </row>
    <row r="35" spans="1:4" x14ac:dyDescent="0.25">
      <c r="A35" s="3" t="s">
        <v>20</v>
      </c>
      <c r="B35" s="3" t="s">
        <v>22</v>
      </c>
      <c r="D35" s="4">
        <v>899.98</v>
      </c>
    </row>
    <row r="36" spans="1:4" x14ac:dyDescent="0.25">
      <c r="A36" s="3" t="s">
        <v>20</v>
      </c>
      <c r="B36" s="3" t="s">
        <v>23</v>
      </c>
      <c r="D36" s="4">
        <v>1023.21</v>
      </c>
    </row>
    <row r="37" spans="1:4" x14ac:dyDescent="0.25">
      <c r="A37" s="3" t="s">
        <v>24</v>
      </c>
      <c r="B37" s="3" t="s">
        <v>25</v>
      </c>
      <c r="D37" s="4">
        <v>93.75</v>
      </c>
    </row>
    <row r="38" spans="1:4" x14ac:dyDescent="0.25">
      <c r="A38" s="3" t="s">
        <v>24</v>
      </c>
      <c r="B38" s="3" t="s">
        <v>26</v>
      </c>
      <c r="D38" s="4">
        <v>4.46</v>
      </c>
    </row>
    <row r="39" spans="1:4" x14ac:dyDescent="0.25">
      <c r="A39" s="3" t="s">
        <v>24</v>
      </c>
      <c r="B39" s="3" t="s">
        <v>27</v>
      </c>
      <c r="D39" s="4">
        <v>15.4</v>
      </c>
    </row>
    <row r="40" spans="1:4" x14ac:dyDescent="0.25">
      <c r="A40" s="3" t="s">
        <v>24</v>
      </c>
      <c r="B40" s="3" t="s">
        <v>28</v>
      </c>
      <c r="D40" s="4">
        <v>30.16</v>
      </c>
    </row>
    <row r="42" spans="2:4" x14ac:dyDescent="0.25">
      <c r="B42" s="5" t="s">
        <v>29</v>
      </c>
      <c r="C42" s="6">
        <v>7018.14</v>
      </c>
      <c r="D42" s="6">
        <v>7018.14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22" customWidth="1"/>
    <col min="2" max="2" width="48" customWidth="1"/>
    <col min="3" max="3" width="14" customWidth="1"/>
  </cols>
  <sheetData>
    <row r="1" spans="1:11" x14ac:dyDescent="0.25">
      <c r="A1" s="2" t="s">
        <v>3</v>
      </c>
      <c r="B1" s="2" t="s">
        <v>4</v>
      </c>
      <c r="C1" s="2" t="s">
        <v>5</v>
      </c>
      <c r="D1" s="2"/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</row>
    <row r="2" spans="1:11" x14ac:dyDescent="0.25">
      <c r="A2" s="3" t="s">
        <v>12</v>
      </c>
      <c r="B2" s="3" t="s">
        <v>30</v>
      </c>
      <c r="C2" s="4">
        <v>1200</v>
      </c>
      <c r="E2" s="3">
        <v>4611</v>
      </c>
      <c r="F2" s="4">
        <f>C4+C6+C8+C10+C12+C14</f>
      </c>
      <c r="G2" s="4">
        <f>C5+C7+C9+C11+C13</f>
      </c>
      <c r="H2" s="4">
        <f>G2*2/3</f>
      </c>
      <c r="I2" s="4">
        <f>F2+H2</f>
      </c>
      <c r="J2" s="3" t="s">
        <v>49</v>
      </c>
      <c r="K2">
        <v>0.041133</v>
      </c>
    </row>
    <row r="3" spans="1:11" x14ac:dyDescent="0.25">
      <c r="A3" s="3" t="s">
        <v>10</v>
      </c>
      <c r="B3" s="3" t="s">
        <v>31</v>
      </c>
      <c r="C3" s="4">
        <v>421.2</v>
      </c>
      <c r="E3" s="3">
        <v>8810</v>
      </c>
      <c r="F3" s="4">
        <f>C2</f>
      </c>
      <c r="G3" s="4">
        <f>C3</f>
      </c>
      <c r="H3" s="4">
        <f>G3*2/3</f>
      </c>
      <c r="I3" s="4">
        <f>F3+H3</f>
      </c>
      <c r="J3" s="3" t="s">
        <v>50</v>
      </c>
      <c r="K3">
        <v>0.004996</v>
      </c>
    </row>
    <row r="4" spans="1:11" x14ac:dyDescent="0.25">
      <c r="A4" s="3" t="s">
        <v>12</v>
      </c>
      <c r="B4" s="3" t="s">
        <v>32</v>
      </c>
      <c r="C4" s="4">
        <v>800</v>
      </c>
      <c r="E4" s="3">
        <v>8871</v>
      </c>
      <c r="F4" s="4">
        <f>0</f>
      </c>
      <c r="G4" s="4">
        <f>0</f>
      </c>
      <c r="H4" s="4">
        <f>G4*2/3</f>
      </c>
      <c r="I4" s="4">
        <f>F4+H4</f>
      </c>
      <c r="J4" s="3" t="s">
        <v>51</v>
      </c>
      <c r="K4">
        <v>0.00244</v>
      </c>
    </row>
    <row r="5" spans="1:11" x14ac:dyDescent="0.25">
      <c r="A5" s="3" t="s">
        <v>10</v>
      </c>
      <c r="B5" s="3" t="s">
        <v>33</v>
      </c>
      <c r="C5" s="4">
        <v>80.4</v>
      </c>
      <c r="E5" s="3">
        <v>8742</v>
      </c>
      <c r="F5" s="4">
        <f>0</f>
      </c>
      <c r="G5" s="4">
        <f>0</f>
      </c>
      <c r="H5" s="4">
        <f>G5*2/3</f>
      </c>
      <c r="I5" s="4">
        <f>F5+H5</f>
      </c>
      <c r="J5" s="3" t="s">
        <v>52</v>
      </c>
      <c r="K5">
        <v>0.002286</v>
      </c>
    </row>
    <row r="6" spans="1:3" x14ac:dyDescent="0.25">
      <c r="A6" s="3" t="s">
        <v>12</v>
      </c>
      <c r="B6" s="3" t="s">
        <v>34</v>
      </c>
      <c r="C6" s="4">
        <v>760</v>
      </c>
    </row>
    <row r="7" spans="1:3" x14ac:dyDescent="0.25">
      <c r="A7" s="3" t="s">
        <v>10</v>
      </c>
      <c r="B7" s="3" t="s">
        <v>35</v>
      </c>
      <c r="C7" s="4">
        <v>124.26</v>
      </c>
    </row>
    <row r="8" spans="1:3" x14ac:dyDescent="0.25">
      <c r="A8" s="3" t="s">
        <v>12</v>
      </c>
      <c r="B8" s="3" t="s">
        <v>36</v>
      </c>
      <c r="C8" s="4">
        <v>840</v>
      </c>
    </row>
    <row r="9" spans="1:3" x14ac:dyDescent="0.25">
      <c r="A9" s="3" t="s">
        <v>10</v>
      </c>
      <c r="B9" s="3" t="s">
        <v>37</v>
      </c>
      <c r="C9" s="4">
        <v>151.2</v>
      </c>
    </row>
    <row r="10" spans="1:3" x14ac:dyDescent="0.25">
      <c r="A10" s="3" t="s">
        <v>12</v>
      </c>
      <c r="B10" s="3" t="s">
        <v>38</v>
      </c>
      <c r="C10" s="4">
        <v>1000</v>
      </c>
    </row>
    <row r="11" spans="1:3" x14ac:dyDescent="0.25">
      <c r="A11" s="3" t="s">
        <v>10</v>
      </c>
      <c r="B11" s="3" t="s">
        <v>39</v>
      </c>
      <c r="C11" s="4">
        <v>140.63</v>
      </c>
    </row>
    <row r="12" spans="1:3" x14ac:dyDescent="0.25">
      <c r="A12" s="3" t="s">
        <v>12</v>
      </c>
      <c r="B12" s="3" t="s">
        <v>40</v>
      </c>
      <c r="C12" s="4">
        <v>791.62</v>
      </c>
    </row>
    <row r="13" spans="1:3" x14ac:dyDescent="0.25">
      <c r="A13" s="3" t="s">
        <v>10</v>
      </c>
      <c r="B13" s="3" t="s">
        <v>41</v>
      </c>
      <c r="C13" s="4">
        <v>104.91</v>
      </c>
    </row>
    <row r="14" spans="1:3" x14ac:dyDescent="0.25">
      <c r="A14" s="3" t="s">
        <v>14</v>
      </c>
      <c r="B14" s="3" t="s">
        <v>53</v>
      </c>
      <c r="C14" s="4">
        <v>113.25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40" customWidth="1"/>
    <col min="2" max="2" width="18" customWidth="1"/>
    <col min="3" max="3" width="28" customWidth="1"/>
    <col min="5" max="5" width="40" customWidth="1"/>
    <col min="6" max="6" width="18" customWidth="1"/>
    <col min="7" max="7" width="28" customWidth="1"/>
  </cols>
  <sheetData>
    <row r="1" spans="1:6" x14ac:dyDescent="0.25">
      <c r="A1" s="3" t="s">
        <v>54</v>
      </c>
      <c r="B1" s="4">
        <v>1113.25</v>
      </c>
      <c r="E1" s="3" t="s">
        <v>55</v>
      </c>
      <c r="F1" s="4">
        <v>0</v>
      </c>
    </row>
    <row r="2" spans="1:6" x14ac:dyDescent="0.25">
      <c r="A2" s="3" t="s">
        <v>56</v>
      </c>
      <c r="B2" s="4">
        <v>140.63</v>
      </c>
      <c r="E2" s="3" t="s">
        <v>57</v>
      </c>
      <c r="F2" s="4">
        <v>0</v>
      </c>
    </row>
    <row r="3" spans="1:7" x14ac:dyDescent="0.25">
      <c r="A3" s="3" t="s">
        <v>48</v>
      </c>
      <c r="B3">
        <v>0.041133</v>
      </c>
      <c r="C3" s="3" t="s">
        <v>58</v>
      </c>
      <c r="E3" s="3" t="s">
        <v>59</v>
      </c>
      <c r="F3">
        <v>0.00244</v>
      </c>
      <c r="G3" s="3" t="s">
        <v>60</v>
      </c>
    </row>
    <row r="4" spans="1:6" x14ac:dyDescent="0.25">
      <c r="A4" s="3" t="s">
        <v>61</v>
      </c>
      <c r="B4" s="4">
        <f>B2*1/3</f>
        <v>46.876666666666665</v>
      </c>
      <c r="E4" s="3" t="s">
        <v>62</v>
      </c>
      <c r="F4" s="4">
        <f>F2*1/3</f>
        <v>0</v>
      </c>
    </row>
    <row r="5" spans="1:6" x14ac:dyDescent="0.25">
      <c r="A5" s="3" t="s">
        <v>63</v>
      </c>
      <c r="B5" s="4">
        <f>B2-B4</f>
        <v>93.75333333333333</v>
      </c>
      <c r="E5" s="3" t="s">
        <v>64</v>
      </c>
      <c r="F5" s="4">
        <f>F2-F4</f>
        <v>0</v>
      </c>
    </row>
    <row r="6" spans="1:6" x14ac:dyDescent="0.25">
      <c r="A6" s="3" t="s">
        <v>65</v>
      </c>
      <c r="B6" s="4">
        <f>B1+B5</f>
        <v>1207.0033333333333</v>
      </c>
      <c r="E6" s="3" t="s">
        <v>65</v>
      </c>
      <c r="F6" s="4">
        <f>F1+F5</f>
        <v>0</v>
      </c>
    </row>
    <row r="7" spans="1:6" x14ac:dyDescent="0.25">
      <c r="A7" s="3" t="s">
        <v>66</v>
      </c>
      <c r="B7" s="4">
        <f>B6*B3</f>
        <v>49.647668110000005</v>
      </c>
      <c r="E7" s="3" t="s">
        <v>66</v>
      </c>
      <c r="F7" s="4">
        <f>F6*F3</f>
        <v>0</v>
      </c>
    </row>
    <row r="8" spans="1:7" x14ac:dyDescent="0.25">
      <c r="A8" s="3" t="s">
        <v>67</v>
      </c>
      <c r="B8" s="4">
        <f>77.74+18.18</f>
        <v>95.91999999999999</v>
      </c>
      <c r="C8" s="3" t="s">
        <v>68</v>
      </c>
      <c r="E8" s="3" t="s">
        <v>67</v>
      </c>
      <c r="F8" s="4">
        <f>0+0</f>
        <v>0</v>
      </c>
      <c r="G8" s="3" t="s">
        <v>68</v>
      </c>
    </row>
    <row r="9" spans="1:6" x14ac:dyDescent="0.25">
      <c r="A9" s="3" t="s">
        <v>69</v>
      </c>
      <c r="B9" s="4">
        <f>B6+B7+B8</f>
        <v>1352.5710014433334</v>
      </c>
      <c r="E9" s="3" t="s">
        <v>69</v>
      </c>
      <c r="F9" s="4">
        <f>F6+F7+F8</f>
        <v>0</v>
      </c>
    </row>
    <row r="10" spans="5:6" x14ac:dyDescent="0.25">
      <c r="E10" s="3" t="s">
        <v>70</v>
      </c>
      <c r="F10" s="4">
        <f>F9*10%</f>
        <v>0</v>
      </c>
    </row>
    <row r="13" spans="1:5" x14ac:dyDescent="0.25">
      <c r="A13" s="5" t="s">
        <v>71</v>
      </c>
      <c r="E13" s="5" t="s">
        <v>71</v>
      </c>
    </row>
    <row r="14" spans="1:6" x14ac:dyDescent="0.25">
      <c r="A14" s="3" t="s">
        <v>72</v>
      </c>
      <c r="B14" s="4">
        <f>B1+B2</f>
        <v>1253.88</v>
      </c>
      <c r="E14" s="3" t="s">
        <v>72</v>
      </c>
      <c r="F14" s="4">
        <f>F1+F2</f>
        <v>0</v>
      </c>
    </row>
    <row r="15" spans="1:6" x14ac:dyDescent="0.25">
      <c r="A15" s="3" t="s">
        <v>73</v>
      </c>
      <c r="B15" s="4">
        <f>B8</f>
        <v>95.91999999999999</v>
      </c>
      <c r="E15" s="3" t="s">
        <v>73</v>
      </c>
      <c r="F15" s="4">
        <f>F8</f>
        <v>0</v>
      </c>
    </row>
    <row r="16" spans="1:6" x14ac:dyDescent="0.25">
      <c r="A16" s="3" t="s">
        <v>66</v>
      </c>
      <c r="B16" s="4">
        <f>B7</f>
        <v>49.647668110000005</v>
      </c>
      <c r="E16" s="3" t="s">
        <v>66</v>
      </c>
      <c r="F16" s="4">
        <f>F7</f>
        <v>0</v>
      </c>
    </row>
    <row r="17" spans="1:6" x14ac:dyDescent="0.25">
      <c r="A17" s="3" t="s">
        <v>74</v>
      </c>
      <c r="B17" s="4">
        <f>B10</f>
        <v>0</v>
      </c>
      <c r="E17" s="3" t="s">
        <v>74</v>
      </c>
      <c r="F17" s="4">
        <f>F10</f>
        <v>0</v>
      </c>
    </row>
    <row r="18" spans="1:6" x14ac:dyDescent="0.25">
      <c r="A18" s="3" t="s">
        <v>75</v>
      </c>
      <c r="B18" s="4">
        <f>SUM(B14:B17)</f>
        <v>1399.4476681100002</v>
      </c>
      <c r="E18" s="3" t="s">
        <v>75</v>
      </c>
      <c r="F18" s="4">
        <f>SUM(F14:F17)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40" customWidth="1"/>
    <col min="2" max="2" width="18" customWidth="1"/>
    <col min="3" max="3" width="28" customWidth="1"/>
    <col min="4" max="4" width="18" customWidth="1"/>
  </cols>
  <sheetData>
    <row r="1" spans="1:2" x14ac:dyDescent="0.25">
      <c r="A1" s="3" t="s">
        <v>76</v>
      </c>
      <c r="B1" s="4">
        <v>840</v>
      </c>
    </row>
    <row r="2" spans="1:2" x14ac:dyDescent="0.25">
      <c r="A2" s="3" t="s">
        <v>77</v>
      </c>
      <c r="B2" s="4">
        <v>151.2</v>
      </c>
    </row>
    <row r="3" spans="1:2" x14ac:dyDescent="0.25">
      <c r="A3" s="3" t="s">
        <v>48</v>
      </c>
      <c r="B3">
        <v>0.041133</v>
      </c>
    </row>
    <row r="4" spans="1:2" x14ac:dyDescent="0.25">
      <c r="A4" s="3" t="s">
        <v>61</v>
      </c>
      <c r="B4" s="4">
        <f>B2*1/3</f>
        <v>50.4</v>
      </c>
    </row>
    <row r="5" spans="1:2" x14ac:dyDescent="0.25">
      <c r="A5" s="3" t="s">
        <v>63</v>
      </c>
      <c r="B5" s="4">
        <f>B2-B4</f>
        <v>100.79999999999998</v>
      </c>
    </row>
    <row r="6" spans="1:2" x14ac:dyDescent="0.25">
      <c r="A6" s="3" t="s">
        <v>65</v>
      </c>
      <c r="B6" s="4">
        <f>B1+B5</f>
        <v>940.8</v>
      </c>
    </row>
    <row r="7" spans="1:2" x14ac:dyDescent="0.25">
      <c r="A7" s="3" t="s">
        <v>66</v>
      </c>
      <c r="B7" s="4">
        <f>B6*B3</f>
        <v>38.6979264</v>
      </c>
    </row>
    <row r="8" spans="1:3" x14ac:dyDescent="0.25">
      <c r="A8" s="3" t="s">
        <v>67</v>
      </c>
      <c r="B8" s="4">
        <f>61.45+14.37</f>
        <v>75.82000000000001</v>
      </c>
      <c r="C8" s="3" t="s">
        <v>68</v>
      </c>
    </row>
    <row r="9" spans="1:2" x14ac:dyDescent="0.25">
      <c r="A9" s="3" t="s">
        <v>69</v>
      </c>
      <c r="B9" s="4">
        <f>B6+B7+B8</f>
        <v>1055.3179264</v>
      </c>
    </row>
    <row r="10" spans="1:2" x14ac:dyDescent="0.25">
      <c r="A10" s="3" t="s">
        <v>78</v>
      </c>
      <c r="B10" s="4">
        <f>B9*10%</f>
        <v>105.53179264</v>
      </c>
    </row>
    <row r="13" spans="1:4" x14ac:dyDescent="0.25">
      <c r="A13" s="5" t="s">
        <v>71</v>
      </c>
      <c r="B13" s="5" t="s">
        <v>79</v>
      </c>
      <c r="C13" s="5" t="s">
        <v>80</v>
      </c>
      <c r="D13" s="5" t="s">
        <v>81</v>
      </c>
    </row>
    <row r="14" spans="1:4" x14ac:dyDescent="0.25">
      <c r="A14" s="3" t="s">
        <v>72</v>
      </c>
      <c r="B14" s="4">
        <f>B1+B2</f>
        <v>991.2</v>
      </c>
      <c r="C14" s="4">
        <f>B14*0.35</f>
        <v>346.92</v>
      </c>
      <c r="D14" s="4">
        <f>B14*0.35</f>
        <v>346.92</v>
      </c>
    </row>
    <row r="15" spans="1:4" x14ac:dyDescent="0.25">
      <c r="A15" s="3" t="s">
        <v>73</v>
      </c>
      <c r="B15" s="4">
        <f>B8</f>
        <v>75.82000000000001</v>
      </c>
      <c r="C15" s="4">
        <f>B15*0.35</f>
        <v>26.537000000000003</v>
      </c>
      <c r="D15" s="4">
        <f>B15*0.35</f>
        <v>26.537000000000003</v>
      </c>
    </row>
    <row r="16" spans="1:4" x14ac:dyDescent="0.25">
      <c r="A16" s="3" t="s">
        <v>66</v>
      </c>
      <c r="B16" s="4">
        <f>B7</f>
        <v>38.6979264</v>
      </c>
      <c r="C16" s="4">
        <f>B16*0.35</f>
        <v>13.54427424</v>
      </c>
      <c r="D16" s="4">
        <f>B16*0.35</f>
        <v>13.54427424</v>
      </c>
    </row>
    <row r="17" spans="1:4" x14ac:dyDescent="0.25">
      <c r="A17" s="3" t="s">
        <v>75</v>
      </c>
      <c r="B17" s="4">
        <f>SUM(B14:B16)</f>
        <v>1105.7179264</v>
      </c>
      <c r="C17" s="4">
        <f>B17*0.35</f>
        <v>387.00127423999993</v>
      </c>
      <c r="D17" s="4">
        <f>B17*0.35</f>
        <v>387.00127423999993</v>
      </c>
    </row>
    <row r="18" spans="1:4" x14ac:dyDescent="0.25">
      <c r="A18" s="3" t="s">
        <v>74</v>
      </c>
      <c r="B18" s="4">
        <f>B17*10%</f>
        <v>110.57179264</v>
      </c>
      <c r="C18" s="4">
        <f>B18*0.35</f>
        <v>38.700127423999994</v>
      </c>
      <c r="D18" s="4">
        <f>B18*0.35</f>
        <v>38.700127423999994</v>
      </c>
    </row>
    <row r="19" spans="1:4" x14ac:dyDescent="0.25">
      <c r="A19" s="7" t="s">
        <v>82</v>
      </c>
      <c r="B19" s="8">
        <f>B17+B18</f>
        <v>1216.28971904</v>
      </c>
      <c r="C19" s="8">
        <f>B19*0.35</f>
        <v>425.70140166399995</v>
      </c>
      <c r="D19" s="8">
        <f>B19*0.35</f>
        <v>425.70140166399995</v>
      </c>
    </row>
    <row r="20" spans="1:4" x14ac:dyDescent="0.25">
      <c r="A20" s="3" t="s">
        <v>83</v>
      </c>
      <c r="B20" s="9">
        <f>61.45+14.37+12.89</f>
        <v>88.71</v>
      </c>
      <c r="C20" s="9">
        <f>B20*0.35</f>
        <v>31.048499999999997</v>
      </c>
      <c r="D20" s="9">
        <f>B20*0.35</f>
        <v>31.048499999999997</v>
      </c>
    </row>
    <row r="22" spans="1:1" x14ac:dyDescent="0.25">
      <c r="A22" s="3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</vt:lpstr>
      <vt:lpstr>Detailed</vt:lpstr>
      <vt:lpstr>WC</vt:lpstr>
      <vt:lpstr>HZ &amp; EL</vt:lpstr>
      <vt:lpstr>Paul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Republic Supply Company</dc:creator>
  <dc:title/>
  <dc:subject/>
  <dc:description/>
  <cp:keywords/>
  <cp:category/>
  <cp:lastModifiedBy>Unknown</cp:lastModifiedBy>
  <dcterms:created xsi:type="dcterms:W3CDTF">2026-09-01T10:51:16Z</dcterms:created>
  <dcterms:modified xsi:type="dcterms:W3CDTF">2026-09-01T10:51:16Z</dcterms:modified>
</cp:coreProperties>
</file>