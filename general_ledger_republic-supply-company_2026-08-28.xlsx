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ic" sheetId="1" r:id="rId4"/>
    <sheet state="visible" name="Detailed" sheetId="2" r:id="rId5"/>
    <sheet state="visible" name="WC" sheetId="3" r:id="rId6"/>
    <sheet state="visible" name="HZ &amp; EL" sheetId="4" r:id="rId7"/>
    <sheet state="visible" name="Paul" sheetId="5" r:id="rId8"/>
  </sheets>
  <definedNames/>
  <calcPr/>
  <extLst>
    <ext uri="GoogleSheetsCustomDataVersion2">
      <go:sheetsCustomData xmlns:go="http://customooxmlschemas.google.com/" r:id="rId9" roundtripDataChecksum="TStzYR8BZWH09K0XJgyhVr1kyLoIDXwieVN5TcJpDSM="/>
    </ext>
  </extLst>
</workbook>
</file>

<file path=xl/sharedStrings.xml><?xml version="1.0" encoding="utf-8"?>
<sst xmlns="http://schemas.openxmlformats.org/spreadsheetml/2006/main" count="209" uniqueCount="85">
  <si>
    <t>Republic Supply Company</t>
  </si>
  <si>
    <t>Account Type</t>
  </si>
  <si>
    <t>Hazel Regualr wages</t>
  </si>
  <si>
    <t>Ledger for Regular Payroll Aug 17 – Aug 23</t>
  </si>
  <si>
    <t>Check date: 2026-08-28</t>
  </si>
  <si>
    <t>Account Description</t>
  </si>
  <si>
    <t>Debit</t>
  </si>
  <si>
    <t>Credit</t>
  </si>
  <si>
    <t>EmployerTax</t>
  </si>
  <si>
    <t>Code</t>
  </si>
  <si>
    <t>Social Security - employer tax</t>
  </si>
  <si>
    <t>RegularWages</t>
  </si>
  <si>
    <t>Regular Wages for Carlos Silva</t>
  </si>
  <si>
    <t>Regular Pay</t>
  </si>
  <si>
    <t>OvertimeWages</t>
  </si>
  <si>
    <t>Regular Wages for Elysia Castro</t>
  </si>
  <si>
    <t>Medicare - employer tax</t>
  </si>
  <si>
    <t>Overtime Wages for Carlos Silva</t>
  </si>
  <si>
    <t>Overtime</t>
  </si>
  <si>
    <t>Regular Wages for Paola Sanchez</t>
  </si>
  <si>
    <t>2/3 OT for WC</t>
  </si>
  <si>
    <t>Overtime Wages</t>
  </si>
  <si>
    <t>Total pay</t>
  </si>
  <si>
    <t>Overtime Wages for Paola Sanchez</t>
  </si>
  <si>
    <t>Regular Wages</t>
  </si>
  <si>
    <t xml:space="preserve">Pay for </t>
  </si>
  <si>
    <t>Regular Wages for Genesis Lopez Pagoada</t>
  </si>
  <si>
    <t>SickTimeOff</t>
  </si>
  <si>
    <t>Sick Time Off</t>
  </si>
  <si>
    <t>WC Rate</t>
  </si>
  <si>
    <t>Overtime Wages for Genesis Lopez Pagoada</t>
  </si>
  <si>
    <t>OT</t>
  </si>
  <si>
    <t>DebitNetPay</t>
  </si>
  <si>
    <t>Regular Wages for Paul Bates</t>
  </si>
  <si>
    <t>Debit net pay</t>
  </si>
  <si>
    <t>Overtime Wages for Paul Bates</t>
  </si>
  <si>
    <t>DebitTax</t>
  </si>
  <si>
    <t>Debit tax</t>
  </si>
  <si>
    <t>Regular Wages for Hazel Herrera</t>
  </si>
  <si>
    <t>Overtime Wages for Elysia Castro</t>
  </si>
  <si>
    <t>EmployeePaymentCheck</t>
  </si>
  <si>
    <t>Check for Genesis Lopez Pagoada</t>
  </si>
  <si>
    <t>Overtime Wages for Hazel Herrera</t>
  </si>
  <si>
    <t>Check for Paul Bates</t>
  </si>
  <si>
    <t>Regular Wages for Sylvia Lopez</t>
  </si>
  <si>
    <t>Overtime Wages for Sylvia Lopez</t>
  </si>
  <si>
    <t>Check for Hazel Herrera</t>
  </si>
  <si>
    <t>Garnishment</t>
  </si>
  <si>
    <t>Garnishment Liability for Child support - 200000000885099 (Carlos Silva)</t>
  </si>
  <si>
    <t>Sick Time Off for Hazel Herrera</t>
  </si>
  <si>
    <t>Deduction Liability for Prior period overpayment correction – 08/21 payroll (Genesis Lopez Pagoada)</t>
  </si>
  <si>
    <t>Deduction Liability for Prior period overpayment correction – 08/21 payroll (Paul Bates)</t>
  </si>
  <si>
    <t>Deduction Liability for Prior period overpayment correction – 08/21 payroll (Hazel Herrera)</t>
  </si>
  <si>
    <t>As per Smartpay code 4611</t>
  </si>
  <si>
    <t>Totals</t>
  </si>
  <si>
    <t>Wc rate</t>
  </si>
  <si>
    <t>As per Righsum code 8871</t>
  </si>
  <si>
    <t>1/3% WC Exempt</t>
  </si>
  <si>
    <t>1/3% of Wc exempt</t>
  </si>
  <si>
    <t>Other than below mentioned</t>
  </si>
  <si>
    <t>OT After Exemption</t>
  </si>
  <si>
    <t>Overtime after exemption</t>
  </si>
  <si>
    <t>Carlos + Ryan</t>
  </si>
  <si>
    <t>Total Hours</t>
  </si>
  <si>
    <t>WC</t>
  </si>
  <si>
    <t>Meaghan+Elysia</t>
  </si>
  <si>
    <t>Employer's tax Part</t>
  </si>
  <si>
    <t>Joey</t>
  </si>
  <si>
    <t>From paycheck</t>
  </si>
  <si>
    <t>Total Cost</t>
  </si>
  <si>
    <t>10% Service Charge</t>
  </si>
  <si>
    <t>RSC Invoice (LXP  Enterprises LLC)</t>
  </si>
  <si>
    <t>Wages</t>
  </si>
  <si>
    <t>Employer Tax</t>
  </si>
  <si>
    <t>Fee</t>
  </si>
  <si>
    <t>Total</t>
  </si>
  <si>
    <t>Paul Regualr wages</t>
  </si>
  <si>
    <t>OT wage</t>
  </si>
  <si>
    <t>10%service fee</t>
  </si>
  <si>
    <t>Total Amount</t>
  </si>
  <si>
    <t>LXP - 35%</t>
  </si>
  <si>
    <t>Bravura - 35%</t>
  </si>
  <si>
    <t>Total Pay</t>
  </si>
  <si>
    <t>Employee tax</t>
  </si>
  <si>
    <t>*New Calculation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</si>
</sst>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7">
    <font>
      <sz val="11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rgb="FFFF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FDEDF"/>
        <bgColor rgb="FFDFDEDF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/>
    </xf>
    <xf borderId="1" fillId="0" fontId="2" numFmtId="0" xfId="0" applyAlignment="1" applyBorder="1" applyFont="1">
      <alignment vertical="bottom"/>
    </xf>
    <xf borderId="0" fillId="0" fontId="3" numFmtId="0" xfId="0" applyFont="1"/>
    <xf borderId="0" fillId="0" fontId="2" numFmtId="7" xfId="0" applyAlignment="1" applyFont="1" applyNumberFormat="1">
      <alignment horizontal="right" vertical="bottom"/>
    </xf>
    <xf borderId="1" fillId="2" fontId="4" numFmtId="0" xfId="0" applyAlignment="1" applyBorder="1" applyFill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7" xfId="0" applyFont="1" applyNumberFormat="1"/>
    <xf borderId="1" fillId="0" fontId="2" numFmtId="7" xfId="0" applyAlignment="1" applyBorder="1" applyFont="1" applyNumberFormat="1">
      <alignment horizontal="right" vertical="bottom"/>
    </xf>
    <xf borderId="1" fillId="2" fontId="4" numFmtId="0" xfId="0" applyAlignment="1" applyBorder="1" applyFill="1" applyFont="1">
      <alignment horizontal="center" readingOrder="0" vertical="bottom"/>
    </xf>
    <xf borderId="1" fillId="0" fontId="5" numFmtId="0" xfId="0" applyAlignment="1" applyBorder="1" applyFont="1">
      <alignment horizontal="right" shrinkToFit="0" vertical="bottom" wrapText="1"/>
    </xf>
    <xf borderId="0" fillId="0" fontId="2" numFmtId="0" xfId="0" applyAlignment="1" applyFont="1">
      <alignment horizontal="right" vertical="bottom"/>
    </xf>
    <xf borderId="0" fillId="0" fontId="1" numFmtId="0" xfId="0" applyFont="1"/>
    <xf borderId="0" fillId="0" fontId="1" numFmtId="7" xfId="0" applyFont="1" applyNumberFormat="1"/>
    <xf borderId="1" fillId="3" fontId="5" numFmtId="164" xfId="0" applyAlignment="1" applyBorder="1" applyFill="1" applyFont="1" applyNumberFormat="1">
      <alignment horizontal="right" vertical="bottom"/>
    </xf>
    <xf borderId="0" fillId="0" fontId="2" numFmtId="10" xfId="0" applyAlignment="1" applyFont="1" applyNumberFormat="1">
      <alignment horizontal="right" vertical="bottom"/>
    </xf>
    <xf borderId="1" fillId="0" fontId="2" numFmtId="2" xfId="0" applyAlignment="1" applyBorder="1" applyFont="1" applyNumberFormat="1">
      <alignment horizontal="right" vertical="bottom"/>
    </xf>
    <xf borderId="1" fillId="0" fontId="3" numFmtId="7" xfId="0" applyBorder="1" applyFont="1" applyNumberFormat="1"/>
    <xf borderId="1" fillId="0" fontId="3" numFmtId="0" xfId="0" applyBorder="1" applyFont="1"/>
    <xf borderId="1" fillId="4" fontId="5" numFmtId="164" xfId="0" applyAlignment="1" applyBorder="1" applyFill="1" applyFont="1" applyNumberFormat="1">
      <alignment horizontal="right" vertical="bottom"/>
    </xf>
    <xf borderId="1" fillId="0" fontId="2" numFmtId="0" xfId="0" applyAlignment="1" applyBorder="1" applyFont="1">
      <alignment horizontal="right" vertical="bottom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horizontal="right" vertical="bottom"/>
    </xf>
    <xf borderId="1" fillId="3" fontId="2" numFmtId="164" xfId="0" applyAlignment="1" applyBorder="1" applyFill="1" applyFont="1" applyNumberFormat="1">
      <alignment horizontal="right" vertical="bottom"/>
    </xf>
    <xf borderId="1" fillId="4" fontId="2" numFmtId="164" xfId="0" applyAlignment="1" applyBorder="1" applyFill="1" applyFont="1" applyNumberFormat="1">
      <alignment horizontal="right" vertical="bottom"/>
    </xf>
    <xf borderId="1" fillId="0" fontId="3" numFmtId="7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horizontal="right" vertical="bottom"/>
    </xf>
    <xf borderId="0" fillId="0" fontId="2" numFmtId="2" xfId="0" applyAlignment="1" applyFont="1" applyNumberFormat="1">
      <alignment horizontal="right" vertical="bottom"/>
    </xf>
    <xf borderId="0" fillId="0" fontId="2" numFmtId="2" xfId="0" applyAlignment="1" applyFont="1" applyNumberFormat="1">
      <alignment vertical="bottom"/>
    </xf>
    <xf borderId="0" fillId="5" fontId="2" numFmtId="7" xfId="0" applyAlignment="1" applyFill="1" applyFont="1" applyNumberFormat="1">
      <alignment horizontal="right" vertical="bottom"/>
    </xf>
    <xf borderId="1" fillId="0" fontId="2" numFmtId="0" xfId="0" applyAlignment="1" applyBorder="1" applyFont="1">
      <alignment readingOrder="0" vertical="bottom"/>
    </xf>
    <xf borderId="1" fillId="0" fontId="2" numFmtId="7" xfId="0" applyAlignment="1" applyBorder="1" applyFont="1" applyNumberFormat="1">
      <alignment horizontal="right" readingOrder="0" vertical="bottom"/>
    </xf>
    <xf borderId="1" fillId="0" fontId="5" numFmtId="164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horizontal="center" vertical="bottom"/>
    </xf>
    <xf borderId="1" fillId="0" fontId="3" numFmtId="2" xfId="0" applyBorder="1" applyFont="1" applyNumberFormat="1"/>
    <xf borderId="1" fillId="5" fontId="3" numFmtId="0" xfId="0" applyAlignment="1" applyBorder="1" applyFill="1" applyFont="1">
      <alignment readingOrder="0"/>
    </xf>
    <xf borderId="1" fillId="5" fontId="3" numFmtId="7" xfId="0" applyBorder="1" applyFill="1" applyFont="1" applyNumberFormat="1"/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4.25"/>
    <col customWidth="1" min="2" max="2" width="112.25"/>
    <col customWidth="1" min="3" max="4" width="16.5"/>
    <col customWidth="1" min="5" max="26" width="8.63"/>
  </cols>
  <sheetData>
    <row r="1" ht="18.0" customHeight="1"/>
    <row r="2" ht="18.0" customHeight="1">
      <c r="A2" s="1" t="s">
        <v>0</v>
      </c>
    </row>
    <row r="3" ht="18.0" customHeight="1">
      <c r="A3" s="1" t="s">
        <v>3</v>
      </c>
    </row>
    <row r="4" ht="18.0" customHeight="1">
      <c r="A4" s="1" t="s">
        <v>4</v>
      </c>
    </row>
    <row r="5" ht="18.0" customHeight="1"/>
    <row r="6" ht="18.0" customHeight="1"/>
    <row r="7" ht="18.0" customHeight="1">
      <c r="A7" s="2" t="s">
        <v>1</v>
      </c>
      <c r="B7" s="2" t="s">
        <v>5</v>
      </c>
      <c r="C7" s="2" t="s">
        <v>6</v>
      </c>
      <c r="D7" s="2" t="s">
        <v>7</v>
      </c>
    </row>
    <row r="8" ht="18.0" customHeight="1">
      <c r="A8" s="4" t="s">
        <v>8</v>
      </c>
      <c r="B8" s="4" t="s">
        <v>10</v>
      </c>
      <c r="C8" s="8">
        <v>333.78</v>
      </c>
    </row>
    <row r="9" ht="18.0" customHeight="1">
      <c r="A9" s="4" t="s">
        <v>8</v>
      </c>
      <c r="B9" s="4" t="s">
        <v>16</v>
      </c>
      <c r="C9" s="8">
        <v>78.07</v>
      </c>
    </row>
    <row r="10" ht="18.0" customHeight="1">
      <c r="A10" s="4" t="s">
        <v>14</v>
      </c>
      <c r="B10" s="4" t="s">
        <v>21</v>
      </c>
      <c r="C10" s="8">
        <v>293.67</v>
      </c>
    </row>
    <row r="11" ht="18.0" customHeight="1">
      <c r="A11" s="4" t="s">
        <v>11</v>
      </c>
      <c r="B11" s="4" t="s">
        <v>24</v>
      </c>
      <c r="C11" s="8">
        <v>4976.72</v>
      </c>
    </row>
    <row r="12" ht="18.0" customHeight="1">
      <c r="A12" s="4" t="s">
        <v>27</v>
      </c>
      <c r="B12" s="4" t="s">
        <v>28</v>
      </c>
      <c r="C12" s="8">
        <v>113.25</v>
      </c>
    </row>
    <row r="13" ht="18.0" customHeight="1">
      <c r="A13" s="4" t="s">
        <v>32</v>
      </c>
      <c r="B13" s="4" t="s">
        <v>34</v>
      </c>
      <c r="D13" s="8">
        <v>2425.36</v>
      </c>
    </row>
    <row r="14" ht="18.0" customHeight="1">
      <c r="A14" s="4" t="s">
        <v>36</v>
      </c>
      <c r="B14" s="4" t="s">
        <v>37</v>
      </c>
      <c r="D14" s="8">
        <v>1040.37</v>
      </c>
    </row>
    <row r="15" ht="18.0" customHeight="1">
      <c r="A15" s="4" t="s">
        <v>40</v>
      </c>
      <c r="B15" s="4" t="s">
        <v>41</v>
      </c>
      <c r="D15" s="8">
        <v>709.17</v>
      </c>
    </row>
    <row r="16" ht="18.0" customHeight="1">
      <c r="A16" s="4" t="s">
        <v>40</v>
      </c>
      <c r="B16" s="4" t="s">
        <v>43</v>
      </c>
      <c r="D16" s="8">
        <v>841.19</v>
      </c>
    </row>
    <row r="17" ht="18.0" customHeight="1">
      <c r="A17" s="4" t="s">
        <v>40</v>
      </c>
      <c r="B17" s="4" t="s">
        <v>46</v>
      </c>
      <c r="D17" s="8">
        <v>635.63</v>
      </c>
    </row>
    <row r="18" ht="18.0" customHeight="1">
      <c r="A18" s="4" t="s">
        <v>47</v>
      </c>
      <c r="B18" s="4" t="s">
        <v>48</v>
      </c>
      <c r="D18" s="8">
        <v>93.75</v>
      </c>
    </row>
    <row r="19" ht="18.0" customHeight="1">
      <c r="A19" s="4" t="s">
        <v>47</v>
      </c>
      <c r="B19" s="4" t="s">
        <v>50</v>
      </c>
      <c r="D19" s="8">
        <v>4.46</v>
      </c>
    </row>
    <row r="20" ht="18.0" customHeight="1">
      <c r="A20" s="4" t="s">
        <v>47</v>
      </c>
      <c r="B20" s="4" t="s">
        <v>51</v>
      </c>
      <c r="D20" s="8">
        <v>15.4</v>
      </c>
    </row>
    <row r="21" ht="18.0" customHeight="1">
      <c r="A21" s="4" t="s">
        <v>47</v>
      </c>
      <c r="B21" s="4" t="s">
        <v>52</v>
      </c>
      <c r="D21" s="8">
        <v>30.16</v>
      </c>
    </row>
    <row r="22" ht="18.0" customHeight="1"/>
    <row r="23" ht="18.0" customHeight="1">
      <c r="A23" s="13"/>
      <c r="B23" s="13" t="s">
        <v>54</v>
      </c>
      <c r="C23" s="14">
        <v>5795.49</v>
      </c>
      <c r="D23" s="14">
        <v>5795.49</v>
      </c>
    </row>
    <row r="24" ht="18.0" customHeight="1"/>
    <row r="25" ht="18.0" customHeight="1"/>
    <row r="26" ht="18.0" customHeight="1">
      <c r="C26" s="18">
        <f>C10+C11+C12-D15-D16-D17</f>
        <v>3197.65</v>
      </c>
      <c r="D26" s="19"/>
      <c r="E26" s="19"/>
    </row>
    <row r="27" ht="18.0" customHeight="1">
      <c r="C27" s="18">
        <f>C8+C9</f>
        <v>411.85</v>
      </c>
      <c r="D27" s="19"/>
      <c r="E27" s="19"/>
    </row>
    <row r="28" ht="18.0" customHeight="1">
      <c r="C28" s="18">
        <f>D14-C27</f>
        <v>628.52</v>
      </c>
      <c r="D28" s="19"/>
      <c r="E28" s="19"/>
    </row>
    <row r="29" ht="18.0" customHeight="1">
      <c r="C29" s="19"/>
      <c r="D29" s="18">
        <f>C28</f>
        <v>628.52</v>
      </c>
      <c r="E29" s="19"/>
    </row>
    <row r="30" ht="18.0" customHeight="1">
      <c r="C30" s="19"/>
      <c r="D30" s="18">
        <f t="shared" ref="D30:D31" si="1">D13</f>
        <v>2425.36</v>
      </c>
      <c r="E30" s="19"/>
    </row>
    <row r="31" ht="18.0" customHeight="1">
      <c r="C31" s="19"/>
      <c r="D31" s="18">
        <f t="shared" si="1"/>
        <v>1040.37</v>
      </c>
      <c r="E31" s="19"/>
    </row>
    <row r="32" ht="18.0" customHeight="1">
      <c r="C32" s="19"/>
      <c r="D32" s="19"/>
      <c r="E32" s="19"/>
    </row>
    <row r="33" ht="18.0" customHeight="1">
      <c r="C33" s="19"/>
      <c r="D33" s="18">
        <f>D18</f>
        <v>93.75</v>
      </c>
      <c r="E33" s="19"/>
    </row>
    <row r="34" ht="18.0" customHeight="1">
      <c r="C34" s="19"/>
      <c r="D34" s="26">
        <v>50.02</v>
      </c>
      <c r="E34" s="19"/>
    </row>
    <row r="35" ht="18.0" customHeight="1">
      <c r="C35" s="18">
        <f>sum(C26:C28)</f>
        <v>4238.02</v>
      </c>
      <c r="D35" s="18">
        <f>sum(D29:D34)</f>
        <v>4238.02</v>
      </c>
      <c r="E35" s="18">
        <f>C35-D35</f>
        <v>0</v>
      </c>
    </row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  <row r="1001" ht="18.0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4.25"/>
    <col customWidth="1" min="2" max="2" width="112.25"/>
    <col customWidth="1" min="3" max="4" width="16.5"/>
    <col customWidth="1" min="5" max="26" width="8.63"/>
  </cols>
  <sheetData>
    <row r="1" ht="18.0" customHeight="1"/>
    <row r="2" ht="18.0" customHeight="1">
      <c r="A2" s="1" t="s">
        <v>0</v>
      </c>
    </row>
    <row r="3" ht="18.0" customHeight="1">
      <c r="A3" s="1" t="s">
        <v>3</v>
      </c>
    </row>
    <row r="4" ht="18.0" customHeight="1">
      <c r="A4" s="1" t="s">
        <v>4</v>
      </c>
    </row>
    <row r="5" ht="18.0" customHeight="1"/>
    <row r="6" ht="18.0" customHeight="1"/>
    <row r="7" ht="18.0" customHeight="1">
      <c r="A7" s="2" t="s">
        <v>1</v>
      </c>
      <c r="B7" s="2" t="s">
        <v>5</v>
      </c>
      <c r="C7" s="2" t="s">
        <v>6</v>
      </c>
      <c r="D7" s="2" t="s">
        <v>7</v>
      </c>
    </row>
    <row r="8" ht="18.0" customHeight="1">
      <c r="A8" s="4" t="s">
        <v>11</v>
      </c>
      <c r="B8" s="4" t="s">
        <v>12</v>
      </c>
      <c r="C8" s="8">
        <v>1200.0</v>
      </c>
    </row>
    <row r="9" ht="18.0" customHeight="1">
      <c r="A9" s="4" t="s">
        <v>14</v>
      </c>
      <c r="B9" s="4" t="s">
        <v>17</v>
      </c>
      <c r="C9" s="8">
        <v>106.65</v>
      </c>
    </row>
    <row r="10" ht="18.0" customHeight="1">
      <c r="A10" s="4" t="s">
        <v>11</v>
      </c>
      <c r="B10" s="4" t="s">
        <v>19</v>
      </c>
      <c r="C10" s="8">
        <v>800.0</v>
      </c>
    </row>
    <row r="11" ht="18.0" customHeight="1">
      <c r="A11" s="4" t="s">
        <v>14</v>
      </c>
      <c r="B11" s="4" t="s">
        <v>23</v>
      </c>
      <c r="C11" s="8">
        <v>18.0</v>
      </c>
    </row>
    <row r="12" ht="18.0" customHeight="1">
      <c r="A12" s="4" t="s">
        <v>11</v>
      </c>
      <c r="B12" s="4" t="s">
        <v>26</v>
      </c>
      <c r="C12" s="8">
        <v>760.0</v>
      </c>
    </row>
    <row r="13" ht="18.0" customHeight="1">
      <c r="A13" s="4" t="s">
        <v>14</v>
      </c>
      <c r="B13" s="4" t="s">
        <v>30</v>
      </c>
      <c r="C13" s="8">
        <v>42.47</v>
      </c>
    </row>
    <row r="14" ht="18.0" customHeight="1">
      <c r="A14" s="4" t="s">
        <v>11</v>
      </c>
      <c r="B14" s="4" t="s">
        <v>33</v>
      </c>
      <c r="C14" s="8">
        <v>840.0</v>
      </c>
    </row>
    <row r="15" ht="18.0" customHeight="1">
      <c r="A15" s="4" t="s">
        <v>14</v>
      </c>
      <c r="B15" s="4" t="s">
        <v>35</v>
      </c>
      <c r="C15" s="8">
        <v>100.8</v>
      </c>
    </row>
    <row r="16" ht="18.0" customHeight="1">
      <c r="A16" s="4" t="s">
        <v>11</v>
      </c>
      <c r="B16" s="4" t="s">
        <v>38</v>
      </c>
      <c r="C16" s="8">
        <v>600.0</v>
      </c>
    </row>
    <row r="17" ht="18.0" customHeight="1">
      <c r="A17" s="4" t="s">
        <v>14</v>
      </c>
      <c r="B17" s="4" t="s">
        <v>42</v>
      </c>
      <c r="C17" s="8">
        <v>18.0</v>
      </c>
    </row>
    <row r="18" ht="18.0" customHeight="1">
      <c r="A18" s="4" t="s">
        <v>11</v>
      </c>
      <c r="B18" s="4" t="s">
        <v>44</v>
      </c>
      <c r="C18" s="8">
        <v>776.72</v>
      </c>
    </row>
    <row r="19" ht="18.0" customHeight="1">
      <c r="A19" s="4" t="s">
        <v>14</v>
      </c>
      <c r="B19" s="4" t="s">
        <v>45</v>
      </c>
      <c r="C19" s="8">
        <v>7.75</v>
      </c>
    </row>
    <row r="20" ht="18.0" customHeight="1">
      <c r="A20" s="4" t="s">
        <v>27</v>
      </c>
      <c r="B20" s="4" t="s">
        <v>49</v>
      </c>
      <c r="C20" s="8">
        <v>113.25</v>
      </c>
    </row>
    <row r="21" ht="18.0" customHeight="1">
      <c r="A21" s="4" t="s">
        <v>8</v>
      </c>
      <c r="B21" s="4" t="s">
        <v>10</v>
      </c>
      <c r="C21" s="8">
        <v>81.01</v>
      </c>
    </row>
    <row r="22" ht="18.0" customHeight="1">
      <c r="A22" s="4" t="s">
        <v>8</v>
      </c>
      <c r="B22" s="4" t="s">
        <v>16</v>
      </c>
      <c r="C22" s="8">
        <v>18.95</v>
      </c>
    </row>
    <row r="23" ht="18.0" customHeight="1">
      <c r="A23" s="4" t="s">
        <v>8</v>
      </c>
      <c r="B23" s="4" t="s">
        <v>10</v>
      </c>
      <c r="C23" s="8">
        <v>50.71</v>
      </c>
    </row>
    <row r="24" ht="18.0" customHeight="1">
      <c r="A24" s="4" t="s">
        <v>8</v>
      </c>
      <c r="B24" s="4" t="s">
        <v>16</v>
      </c>
      <c r="C24" s="8">
        <v>11.86</v>
      </c>
    </row>
    <row r="25" ht="18.0" customHeight="1">
      <c r="A25" s="4" t="s">
        <v>8</v>
      </c>
      <c r="B25" s="4" t="s">
        <v>10</v>
      </c>
      <c r="C25" s="8">
        <v>49.75</v>
      </c>
    </row>
    <row r="26" ht="18.0" customHeight="1">
      <c r="A26" s="4" t="s">
        <v>8</v>
      </c>
      <c r="B26" s="4" t="s">
        <v>16</v>
      </c>
      <c r="C26" s="8">
        <v>11.63</v>
      </c>
    </row>
    <row r="27" ht="18.0" customHeight="1">
      <c r="A27" s="4" t="s">
        <v>8</v>
      </c>
      <c r="B27" s="4" t="s">
        <v>10</v>
      </c>
      <c r="C27" s="8">
        <v>58.33</v>
      </c>
    </row>
    <row r="28" ht="18.0" customHeight="1">
      <c r="A28" s="4" t="s">
        <v>8</v>
      </c>
      <c r="B28" s="4" t="s">
        <v>16</v>
      </c>
      <c r="C28" s="8">
        <v>13.65</v>
      </c>
    </row>
    <row r="29" ht="18.0" customHeight="1">
      <c r="A29" s="4" t="s">
        <v>8</v>
      </c>
      <c r="B29" s="4" t="s">
        <v>10</v>
      </c>
      <c r="C29" s="8">
        <v>45.34</v>
      </c>
    </row>
    <row r="30" ht="18.0" customHeight="1">
      <c r="A30" s="4" t="s">
        <v>8</v>
      </c>
      <c r="B30" s="4" t="s">
        <v>16</v>
      </c>
      <c r="C30" s="8">
        <v>10.61</v>
      </c>
    </row>
    <row r="31" ht="18.0" customHeight="1">
      <c r="A31" s="4" t="s">
        <v>8</v>
      </c>
      <c r="B31" s="4" t="s">
        <v>10</v>
      </c>
      <c r="C31" s="8">
        <v>48.64</v>
      </c>
    </row>
    <row r="32" ht="18.0" customHeight="1">
      <c r="A32" s="4" t="s">
        <v>8</v>
      </c>
      <c r="B32" s="4" t="s">
        <v>16</v>
      </c>
      <c r="C32" s="8">
        <v>11.37</v>
      </c>
    </row>
    <row r="33" ht="18.0" customHeight="1">
      <c r="A33" s="4" t="s">
        <v>32</v>
      </c>
      <c r="B33" s="4" t="s">
        <v>34</v>
      </c>
      <c r="D33" s="8">
        <v>2425.36</v>
      </c>
    </row>
    <row r="34" ht="18.0" customHeight="1">
      <c r="A34" s="4" t="s">
        <v>36</v>
      </c>
      <c r="B34" s="4" t="s">
        <v>37</v>
      </c>
      <c r="D34" s="8">
        <v>1040.37</v>
      </c>
    </row>
    <row r="35" ht="18.0" customHeight="1">
      <c r="A35" s="4" t="s">
        <v>40</v>
      </c>
      <c r="B35" s="4" t="s">
        <v>41</v>
      </c>
      <c r="D35" s="8">
        <v>709.17</v>
      </c>
    </row>
    <row r="36" ht="18.0" customHeight="1">
      <c r="A36" s="4" t="s">
        <v>40</v>
      </c>
      <c r="B36" s="4" t="s">
        <v>43</v>
      </c>
      <c r="D36" s="8">
        <v>841.19</v>
      </c>
    </row>
    <row r="37" ht="18.0" customHeight="1">
      <c r="A37" s="4" t="s">
        <v>40</v>
      </c>
      <c r="B37" s="4" t="s">
        <v>46</v>
      </c>
      <c r="D37" s="8">
        <v>635.63</v>
      </c>
    </row>
    <row r="38" ht="18.0" customHeight="1">
      <c r="A38" s="4" t="s">
        <v>47</v>
      </c>
      <c r="B38" s="4" t="s">
        <v>48</v>
      </c>
      <c r="D38" s="8">
        <v>93.75</v>
      </c>
    </row>
    <row r="39" ht="18.0" customHeight="1">
      <c r="A39" s="4" t="s">
        <v>47</v>
      </c>
      <c r="B39" s="4" t="s">
        <v>50</v>
      </c>
      <c r="D39" s="8">
        <v>4.46</v>
      </c>
    </row>
    <row r="40" ht="18.0" customHeight="1">
      <c r="A40" s="4" t="s">
        <v>47</v>
      </c>
      <c r="B40" s="4" t="s">
        <v>51</v>
      </c>
      <c r="D40" s="8">
        <v>15.4</v>
      </c>
    </row>
    <row r="41" ht="18.0" customHeight="1">
      <c r="A41" s="4" t="s">
        <v>47</v>
      </c>
      <c r="B41" s="4" t="s">
        <v>52</v>
      </c>
      <c r="D41" s="8">
        <v>30.16</v>
      </c>
    </row>
    <row r="42" ht="18.0" customHeight="1"/>
    <row r="43" ht="18.0" customHeight="1">
      <c r="A43" s="13"/>
      <c r="B43" s="13" t="s">
        <v>54</v>
      </c>
      <c r="C43" s="14">
        <v>5795.49</v>
      </c>
      <c r="D43" s="14">
        <v>5795.49</v>
      </c>
    </row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7.75"/>
    <col customWidth="1" min="10" max="10" width="23.5"/>
  </cols>
  <sheetData>
    <row r="1">
      <c r="A1" s="2" t="s">
        <v>1</v>
      </c>
      <c r="B1" s="2" t="s">
        <v>5</v>
      </c>
      <c r="C1" s="2" t="s">
        <v>6</v>
      </c>
      <c r="E1" s="6" t="s">
        <v>9</v>
      </c>
      <c r="F1" s="6" t="s">
        <v>13</v>
      </c>
      <c r="G1" s="6" t="s">
        <v>18</v>
      </c>
      <c r="H1" s="6" t="s">
        <v>20</v>
      </c>
      <c r="I1" s="6" t="s">
        <v>22</v>
      </c>
      <c r="J1" s="6" t="s">
        <v>25</v>
      </c>
      <c r="K1" s="10" t="s">
        <v>29</v>
      </c>
    </row>
    <row r="2">
      <c r="A2" s="4" t="s">
        <v>11</v>
      </c>
      <c r="B2" s="4" t="s">
        <v>12</v>
      </c>
      <c r="C2" s="8">
        <v>1200.0</v>
      </c>
      <c r="E2" s="11">
        <v>4611.0</v>
      </c>
      <c r="F2" s="15">
        <f>C4+C6+C8+C10+C12+C14</f>
        <v>3889.97</v>
      </c>
      <c r="G2" s="15">
        <f>C5+C7+C9+C11+C13</f>
        <v>187.02</v>
      </c>
      <c r="H2" s="15">
        <f t="shared" ref="H2:H5" si="1">G2*2/3</f>
        <v>124.68</v>
      </c>
      <c r="I2" s="20">
        <f t="shared" ref="I2:I5" si="2">F2+H2</f>
        <v>4014.65</v>
      </c>
      <c r="J2" s="22" t="s">
        <v>59</v>
      </c>
      <c r="K2" s="11">
        <v>0.041133</v>
      </c>
    </row>
    <row r="3">
      <c r="A3" s="4" t="s">
        <v>14</v>
      </c>
      <c r="B3" s="4" t="s">
        <v>17</v>
      </c>
      <c r="C3" s="8">
        <v>106.65</v>
      </c>
      <c r="E3" s="11">
        <v>8810.0</v>
      </c>
      <c r="F3" s="15">
        <f>C2</f>
        <v>1200</v>
      </c>
      <c r="G3" s="15">
        <f>C3</f>
        <v>106.65</v>
      </c>
      <c r="H3" s="15">
        <f t="shared" si="1"/>
        <v>71.1</v>
      </c>
      <c r="I3" s="20">
        <f t="shared" si="2"/>
        <v>1271.1</v>
      </c>
      <c r="J3" s="22" t="s">
        <v>62</v>
      </c>
      <c r="K3" s="11">
        <v>0.004996</v>
      </c>
    </row>
    <row r="4">
      <c r="A4" s="4" t="s">
        <v>11</v>
      </c>
      <c r="B4" s="4" t="s">
        <v>19</v>
      </c>
      <c r="C4" s="8">
        <v>800.0</v>
      </c>
      <c r="E4" s="23">
        <v>8871.0</v>
      </c>
      <c r="F4" s="24" t="str">
        <f t="shared" ref="F4:F5" si="3">C15</f>
        <v/>
      </c>
      <c r="G4" s="24">
        <v>0.0</v>
      </c>
      <c r="H4" s="24">
        <f t="shared" si="1"/>
        <v>0</v>
      </c>
      <c r="I4" s="25">
        <f t="shared" si="2"/>
        <v>0</v>
      </c>
      <c r="J4" s="22" t="s">
        <v>65</v>
      </c>
      <c r="K4" s="23">
        <v>0.00244</v>
      </c>
    </row>
    <row r="5">
      <c r="A5" s="4" t="s">
        <v>14</v>
      </c>
      <c r="B5" s="4" t="s">
        <v>23</v>
      </c>
      <c r="C5" s="8">
        <v>18.0</v>
      </c>
      <c r="E5" s="23">
        <v>8742.0</v>
      </c>
      <c r="F5" s="27" t="str">
        <f t="shared" si="3"/>
        <v/>
      </c>
      <c r="G5" s="27">
        <v>0.0</v>
      </c>
      <c r="H5" s="27">
        <f t="shared" si="1"/>
        <v>0</v>
      </c>
      <c r="I5" s="25">
        <f t="shared" si="2"/>
        <v>0</v>
      </c>
      <c r="J5" s="22" t="s">
        <v>67</v>
      </c>
      <c r="K5" s="23">
        <v>0.002286</v>
      </c>
    </row>
    <row r="6">
      <c r="A6" s="4" t="s">
        <v>11</v>
      </c>
      <c r="B6" s="4" t="s">
        <v>26</v>
      </c>
      <c r="C6" s="8">
        <v>760.0</v>
      </c>
    </row>
    <row r="7">
      <c r="A7" s="4" t="s">
        <v>14</v>
      </c>
      <c r="B7" s="4" t="s">
        <v>30</v>
      </c>
      <c r="C7" s="8">
        <v>42.47</v>
      </c>
    </row>
    <row r="8">
      <c r="A8" s="4" t="s">
        <v>11</v>
      </c>
      <c r="B8" s="4" t="s">
        <v>33</v>
      </c>
      <c r="C8" s="8">
        <v>840.0</v>
      </c>
    </row>
    <row r="9">
      <c r="A9" s="4" t="s">
        <v>14</v>
      </c>
      <c r="B9" s="4" t="s">
        <v>35</v>
      </c>
      <c r="C9" s="8">
        <v>100.8</v>
      </c>
    </row>
    <row r="10">
      <c r="A10" s="4" t="s">
        <v>11</v>
      </c>
      <c r="B10" s="4" t="s">
        <v>38</v>
      </c>
      <c r="C10" s="8">
        <v>600.0</v>
      </c>
    </row>
    <row r="11">
      <c r="A11" s="4" t="s">
        <v>14</v>
      </c>
      <c r="B11" s="4" t="s">
        <v>42</v>
      </c>
      <c r="C11" s="8">
        <v>18.0</v>
      </c>
    </row>
    <row r="12">
      <c r="A12" s="4" t="s">
        <v>11</v>
      </c>
      <c r="B12" s="4" t="s">
        <v>44</v>
      </c>
      <c r="C12" s="8">
        <v>776.72</v>
      </c>
    </row>
    <row r="13">
      <c r="A13" s="4" t="s">
        <v>14</v>
      </c>
      <c r="B13" s="4" t="s">
        <v>45</v>
      </c>
      <c r="C13" s="8">
        <v>7.75</v>
      </c>
    </row>
    <row r="14">
      <c r="A14" s="4" t="s">
        <v>27</v>
      </c>
      <c r="B14" s="4" t="s">
        <v>49</v>
      </c>
      <c r="C14" s="8">
        <v>113.25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" t="s">
        <v>2</v>
      </c>
      <c r="B1" s="5">
        <v>713.25</v>
      </c>
      <c r="C1" s="7"/>
      <c r="D1" s="7"/>
      <c r="E1" s="3" t="s">
        <v>15</v>
      </c>
      <c r="F1" s="9">
        <v>0.0</v>
      </c>
      <c r="G1" s="3"/>
    </row>
    <row r="2">
      <c r="A2" s="3" t="s">
        <v>31</v>
      </c>
      <c r="B2" s="5">
        <v>18.0</v>
      </c>
      <c r="C2" s="7"/>
      <c r="D2" s="7"/>
      <c r="E2" s="3" t="s">
        <v>39</v>
      </c>
      <c r="F2" s="9">
        <v>0.0</v>
      </c>
      <c r="G2" s="3"/>
    </row>
    <row r="3">
      <c r="A3" s="3" t="s">
        <v>29</v>
      </c>
      <c r="B3" s="12">
        <v>0.041133</v>
      </c>
      <c r="C3" s="3" t="s">
        <v>53</v>
      </c>
      <c r="D3" s="7"/>
      <c r="E3" s="3" t="s">
        <v>55</v>
      </c>
      <c r="F3" s="16">
        <v>2.44E-5</v>
      </c>
      <c r="G3" s="3" t="s">
        <v>56</v>
      </c>
    </row>
    <row r="4">
      <c r="A4" s="3" t="s">
        <v>57</v>
      </c>
      <c r="B4" s="17">
        <f>B2*1/3</f>
        <v>6</v>
      </c>
      <c r="C4" s="7"/>
      <c r="D4" s="7"/>
      <c r="E4" s="3" t="s">
        <v>58</v>
      </c>
      <c r="F4" s="21">
        <f>F2*1/3</f>
        <v>0</v>
      </c>
      <c r="G4" s="3"/>
    </row>
    <row r="5">
      <c r="A5" s="3" t="s">
        <v>60</v>
      </c>
      <c r="B5" s="9">
        <f>B2-B4</f>
        <v>12</v>
      </c>
      <c r="C5" s="7"/>
      <c r="D5" s="7"/>
      <c r="E5" s="3" t="s">
        <v>61</v>
      </c>
      <c r="F5" s="9">
        <f>F2-F4</f>
        <v>0</v>
      </c>
      <c r="G5" s="3"/>
    </row>
    <row r="6">
      <c r="A6" s="3" t="s">
        <v>63</v>
      </c>
      <c r="B6" s="9">
        <f>B1+B5</f>
        <v>725.25</v>
      </c>
      <c r="C6" s="7"/>
      <c r="D6" s="7"/>
      <c r="E6" s="3" t="s">
        <v>63</v>
      </c>
      <c r="F6" s="9">
        <f>F1+F5</f>
        <v>0</v>
      </c>
      <c r="G6" s="3"/>
    </row>
    <row r="7">
      <c r="A7" s="3" t="s">
        <v>64</v>
      </c>
      <c r="B7" s="17">
        <f>B6*B3</f>
        <v>29.83170825</v>
      </c>
      <c r="C7" s="7"/>
      <c r="D7" s="7"/>
      <c r="E7" s="3" t="s">
        <v>64</v>
      </c>
      <c r="F7" s="17">
        <f>F6*F3</f>
        <v>0</v>
      </c>
      <c r="G7" s="3"/>
    </row>
    <row r="8">
      <c r="A8" s="3" t="s">
        <v>66</v>
      </c>
      <c r="B8" s="17">
        <f>45.34+10.61</f>
        <v>55.95</v>
      </c>
      <c r="C8" s="3" t="s">
        <v>68</v>
      </c>
      <c r="D8" s="7"/>
      <c r="E8" s="3" t="s">
        <v>66</v>
      </c>
      <c r="F8" s="21">
        <v>0.0</v>
      </c>
      <c r="G8" s="3" t="s">
        <v>68</v>
      </c>
    </row>
    <row r="9">
      <c r="A9" s="3" t="s">
        <v>69</v>
      </c>
      <c r="B9" s="9">
        <f>B6+B7+B8</f>
        <v>811.0317083</v>
      </c>
      <c r="C9" s="7"/>
      <c r="D9" s="7"/>
      <c r="E9" s="3" t="s">
        <v>69</v>
      </c>
      <c r="F9" s="9">
        <f>F6+F7+F8</f>
        <v>0</v>
      </c>
      <c r="G9" s="3"/>
    </row>
    <row r="10">
      <c r="A10" s="7"/>
      <c r="B10" s="7"/>
      <c r="C10" s="7"/>
      <c r="D10" s="7"/>
      <c r="E10" s="3" t="s">
        <v>70</v>
      </c>
      <c r="F10" s="17">
        <f>F9*10%</f>
        <v>0</v>
      </c>
      <c r="G10" s="3"/>
    </row>
    <row r="11">
      <c r="A11" s="7"/>
      <c r="B11" s="7"/>
      <c r="C11" s="7"/>
      <c r="D11" s="7"/>
      <c r="E11" s="7"/>
      <c r="F11" s="7"/>
      <c r="G11" s="7"/>
    </row>
    <row r="12">
      <c r="A12" s="7"/>
      <c r="B12" s="7"/>
      <c r="C12" s="7"/>
      <c r="D12" s="7"/>
      <c r="E12" s="7"/>
      <c r="F12" s="7"/>
      <c r="G12" s="7"/>
    </row>
    <row r="13">
      <c r="A13" s="7" t="s">
        <v>71</v>
      </c>
      <c r="B13" s="7"/>
      <c r="C13" s="7"/>
      <c r="D13" s="7"/>
      <c r="E13" s="7" t="s">
        <v>71</v>
      </c>
      <c r="F13" s="7"/>
      <c r="G13" s="7"/>
    </row>
    <row r="14">
      <c r="A14" s="7" t="s">
        <v>72</v>
      </c>
      <c r="B14" s="5">
        <f>B1+B2</f>
        <v>731.25</v>
      </c>
      <c r="C14" s="7"/>
      <c r="D14" s="7"/>
      <c r="E14" s="7" t="s">
        <v>72</v>
      </c>
      <c r="F14" s="5">
        <f>F1+F2</f>
        <v>0</v>
      </c>
      <c r="G14" s="7"/>
    </row>
    <row r="15">
      <c r="A15" s="7" t="s">
        <v>73</v>
      </c>
      <c r="B15" s="28">
        <f>B8</f>
        <v>55.95</v>
      </c>
      <c r="C15" s="7"/>
      <c r="D15" s="7"/>
      <c r="E15" s="7" t="s">
        <v>73</v>
      </c>
      <c r="F15" s="12">
        <f>F8</f>
        <v>0</v>
      </c>
      <c r="G15" s="7"/>
    </row>
    <row r="16">
      <c r="A16" s="7" t="s">
        <v>64</v>
      </c>
      <c r="B16" s="28">
        <f>B7</f>
        <v>29.83170825</v>
      </c>
      <c r="C16" s="7"/>
      <c r="D16" s="7"/>
      <c r="E16" s="7" t="s">
        <v>64</v>
      </c>
      <c r="F16" s="28">
        <f>F7</f>
        <v>0</v>
      </c>
      <c r="G16" s="7"/>
    </row>
    <row r="17">
      <c r="A17" s="7" t="s">
        <v>74</v>
      </c>
      <c r="B17" s="29" t="str">
        <f>B10</f>
        <v/>
      </c>
      <c r="C17" s="7"/>
      <c r="D17" s="7"/>
      <c r="E17" s="7" t="s">
        <v>74</v>
      </c>
      <c r="F17" s="28">
        <f>F10</f>
        <v>0</v>
      </c>
      <c r="G17" s="7"/>
    </row>
    <row r="18">
      <c r="A18" s="7" t="s">
        <v>75</v>
      </c>
      <c r="B18" s="30">
        <f>SUM(B14:B17)</f>
        <v>817.0317083</v>
      </c>
      <c r="C18" s="7"/>
      <c r="D18" s="7"/>
      <c r="E18" s="7" t="s">
        <v>75</v>
      </c>
      <c r="F18" s="5">
        <f>sum(F14:F17)</f>
        <v>0</v>
      </c>
      <c r="G18" s="7"/>
    </row>
    <row r="19">
      <c r="B19" s="7"/>
    </row>
    <row r="20">
      <c r="B20" s="7"/>
    </row>
    <row r="21">
      <c r="B21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5"/>
  </cols>
  <sheetData>
    <row r="1">
      <c r="A1" s="31" t="s">
        <v>76</v>
      </c>
      <c r="B1" s="32">
        <v>840.0</v>
      </c>
    </row>
    <row r="2">
      <c r="A2" s="31" t="s">
        <v>77</v>
      </c>
      <c r="B2" s="32">
        <v>100.8</v>
      </c>
    </row>
    <row r="3">
      <c r="A3" s="3" t="s">
        <v>29</v>
      </c>
      <c r="B3" s="21">
        <v>0.041133</v>
      </c>
    </row>
    <row r="4">
      <c r="A4" s="3" t="s">
        <v>57</v>
      </c>
      <c r="B4" s="17">
        <f>B2*1/3</f>
        <v>33.6</v>
      </c>
    </row>
    <row r="5">
      <c r="A5" s="3" t="s">
        <v>60</v>
      </c>
      <c r="B5" s="9">
        <f>B2-B4</f>
        <v>67.2</v>
      </c>
    </row>
    <row r="6">
      <c r="A6" s="3" t="s">
        <v>63</v>
      </c>
      <c r="B6" s="9">
        <f>B1+B5</f>
        <v>907.2</v>
      </c>
    </row>
    <row r="7">
      <c r="A7" s="3" t="s">
        <v>64</v>
      </c>
      <c r="B7" s="17">
        <f>B6*B3</f>
        <v>37.3158576</v>
      </c>
    </row>
    <row r="8">
      <c r="A8" s="3" t="s">
        <v>66</v>
      </c>
      <c r="B8" s="33">
        <f>58.33+13.65</f>
        <v>71.98</v>
      </c>
    </row>
    <row r="9">
      <c r="A9" s="3" t="s">
        <v>69</v>
      </c>
      <c r="B9" s="9">
        <f>B6+B7+B8</f>
        <v>1016.495858</v>
      </c>
    </row>
    <row r="10">
      <c r="A10" s="31" t="s">
        <v>78</v>
      </c>
      <c r="B10" s="17">
        <f>B9*10%</f>
        <v>101.6495858</v>
      </c>
    </row>
    <row r="11">
      <c r="A11" s="7"/>
      <c r="B11" s="7"/>
    </row>
    <row r="12">
      <c r="A12" s="7"/>
      <c r="B12" s="7"/>
    </row>
    <row r="13">
      <c r="A13" s="3" t="s">
        <v>71</v>
      </c>
      <c r="B13" s="34" t="s">
        <v>79</v>
      </c>
      <c r="C13" s="34" t="s">
        <v>80</v>
      </c>
      <c r="D13" s="34" t="s">
        <v>81</v>
      </c>
    </row>
    <row r="14">
      <c r="A14" s="3" t="s">
        <v>72</v>
      </c>
      <c r="B14" s="9">
        <f>B1+B2</f>
        <v>940.8</v>
      </c>
      <c r="C14" s="35">
        <f t="shared" ref="C14:C16" si="1">B14*0.35</f>
        <v>329.28</v>
      </c>
      <c r="D14" s="35">
        <f t="shared" ref="D14:D16" si="2">B14*0.35</f>
        <v>329.28</v>
      </c>
    </row>
    <row r="15">
      <c r="A15" s="3" t="s">
        <v>73</v>
      </c>
      <c r="B15" s="17">
        <f>B8</f>
        <v>71.98</v>
      </c>
      <c r="C15" s="35">
        <f t="shared" si="1"/>
        <v>25.193</v>
      </c>
      <c r="D15" s="35">
        <f t="shared" si="2"/>
        <v>25.193</v>
      </c>
    </row>
    <row r="16">
      <c r="A16" s="3" t="s">
        <v>64</v>
      </c>
      <c r="B16" s="17">
        <f>B7</f>
        <v>37.3158576</v>
      </c>
      <c r="C16" s="35">
        <f t="shared" si="1"/>
        <v>13.06055016</v>
      </c>
      <c r="D16" s="35">
        <f t="shared" si="2"/>
        <v>13.06055016</v>
      </c>
    </row>
    <row r="17">
      <c r="A17" s="3" t="s">
        <v>75</v>
      </c>
      <c r="B17" s="9">
        <f t="shared" ref="B17:D17" si="3">SUM(B14:B16)</f>
        <v>1050.095858</v>
      </c>
      <c r="C17" s="9">
        <f t="shared" si="3"/>
        <v>367.5335502</v>
      </c>
      <c r="D17" s="9">
        <f t="shared" si="3"/>
        <v>367.5335502</v>
      </c>
    </row>
    <row r="18">
      <c r="A18" s="3" t="s">
        <v>74</v>
      </c>
      <c r="B18" s="35">
        <f>B17*10%</f>
        <v>105.0095858</v>
      </c>
      <c r="C18" s="35">
        <f>B18*0.35</f>
        <v>36.75335502</v>
      </c>
      <c r="D18" s="35">
        <f>B18*0.35</f>
        <v>36.75335502</v>
      </c>
    </row>
    <row r="19">
      <c r="A19" s="36" t="s">
        <v>82</v>
      </c>
      <c r="B19" s="37">
        <f t="shared" ref="B19:C19" si="4">sum(B17+B18)</f>
        <v>1155.105443</v>
      </c>
      <c r="C19" s="37">
        <f t="shared" si="4"/>
        <v>404.2869052</v>
      </c>
      <c r="D19" s="37">
        <f>sum(D17:D18)</f>
        <v>404.2869052</v>
      </c>
    </row>
    <row r="20">
      <c r="A20" s="22" t="s">
        <v>83</v>
      </c>
      <c r="B20" s="33">
        <f>58.33+13.65+12.23</f>
        <v>84.21</v>
      </c>
      <c r="C20" s="33">
        <f>B20*0.35</f>
        <v>29.4735</v>
      </c>
      <c r="D20" s="33">
        <f>B20*0.35</f>
        <v>29.4735</v>
      </c>
    </row>
    <row r="22">
      <c r="A22" s="38" t="s">
        <v>84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2026-08-26T03:20:41Z</dcterms:created>
  <dc:creator>axlsx</dc:creator>
</cp:coreProperties>
</file>